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2EB0AEF-C775-4E40-9395-D4C6B577A1B3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Raw Data" sheetId="1" r:id="rId1"/>
    <sheet name="Summary" sheetId="2" r:id="rId2"/>
    <sheet name="Chart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2" l="1"/>
  <c r="G35" i="2"/>
  <c r="J35" i="2" s="1"/>
  <c r="G34" i="2"/>
  <c r="L34" i="2" s="1"/>
  <c r="G33" i="2"/>
  <c r="L33" i="2" s="1"/>
  <c r="G32" i="2"/>
  <c r="L32" i="2" s="1"/>
  <c r="G31" i="2"/>
  <c r="L31" i="2" s="1"/>
  <c r="G30" i="2"/>
  <c r="L30" i="2" s="1"/>
  <c r="G29" i="2"/>
  <c r="L29" i="2" s="1"/>
  <c r="G28" i="2"/>
  <c r="L28" i="2" s="1"/>
  <c r="G27" i="2"/>
  <c r="J27" i="2" s="1"/>
  <c r="G26" i="2"/>
  <c r="L26" i="2" s="1"/>
  <c r="G25" i="2"/>
  <c r="L25" i="2" s="1"/>
  <c r="G24" i="2"/>
  <c r="L24" i="2" s="1"/>
  <c r="G23" i="2"/>
  <c r="L23" i="2" s="1"/>
  <c r="G22" i="2"/>
  <c r="L22" i="2" s="1"/>
  <c r="G21" i="2"/>
  <c r="L21" i="2" s="1"/>
  <c r="G20" i="2"/>
  <c r="L20" i="2" s="1"/>
  <c r="G19" i="2"/>
  <c r="J19" i="2" s="1"/>
  <c r="G18" i="2"/>
  <c r="L18" i="2" s="1"/>
  <c r="G17" i="2"/>
  <c r="L17" i="2" s="1"/>
  <c r="G16" i="2"/>
  <c r="L16" i="2" s="1"/>
  <c r="G15" i="2"/>
  <c r="L15" i="2" s="1"/>
  <c r="G14" i="2"/>
  <c r="L14" i="2" s="1"/>
  <c r="G13" i="2"/>
  <c r="L13" i="2" s="1"/>
  <c r="G12" i="2"/>
  <c r="L12" i="2" s="1"/>
  <c r="G11" i="2"/>
  <c r="J11" i="2" s="1"/>
  <c r="G10" i="2"/>
  <c r="L10" i="2" s="1"/>
  <c r="G9" i="2"/>
  <c r="L9" i="2" s="1"/>
  <c r="G8" i="2"/>
  <c r="L8" i="2" s="1"/>
  <c r="G7" i="2"/>
  <c r="L7" i="2" s="1"/>
  <c r="G6" i="2"/>
  <c r="L6" i="2" s="1"/>
  <c r="G5" i="2"/>
  <c r="L5" i="2" s="1"/>
  <c r="G4" i="2"/>
  <c r="L4" i="2" s="1"/>
  <c r="G3" i="2"/>
  <c r="L3" i="2" s="1"/>
  <c r="C10" i="2"/>
  <c r="C9" i="2"/>
  <c r="C8" i="2"/>
  <c r="C7" i="2"/>
  <c r="C6" i="2"/>
  <c r="C5" i="2"/>
  <c r="C4" i="2"/>
  <c r="J34" i="2" l="1"/>
  <c r="J26" i="2"/>
  <c r="J18" i="2"/>
  <c r="J10" i="2"/>
  <c r="L35" i="2"/>
  <c r="L27" i="2"/>
  <c r="L19" i="2"/>
  <c r="L11" i="2"/>
  <c r="J33" i="2"/>
  <c r="J25" i="2"/>
  <c r="J17" i="2"/>
  <c r="J9" i="2"/>
  <c r="J32" i="2"/>
  <c r="J24" i="2"/>
  <c r="J16" i="2"/>
  <c r="J8" i="2"/>
  <c r="J31" i="2"/>
  <c r="J23" i="2"/>
  <c r="J15" i="2"/>
  <c r="J7" i="2"/>
  <c r="J30" i="2"/>
  <c r="J22" i="2"/>
  <c r="J14" i="2"/>
  <c r="J6" i="2"/>
  <c r="C12" i="2"/>
  <c r="D12" i="2" s="1"/>
  <c r="J29" i="2"/>
  <c r="J21" i="2"/>
  <c r="J13" i="2"/>
  <c r="J5" i="2"/>
  <c r="J3" i="2"/>
  <c r="J28" i="2"/>
  <c r="J20" i="2"/>
  <c r="J12" i="2"/>
  <c r="J4" i="2"/>
  <c r="D6" i="2"/>
  <c r="D7" i="2"/>
  <c r="D10" i="2"/>
  <c r="D8" i="2"/>
  <c r="D4" i="2"/>
  <c r="D3" i="2"/>
  <c r="D9" i="2"/>
  <c r="D5" i="2"/>
  <c r="H3" i="2"/>
  <c r="H4" i="2"/>
  <c r="H12" i="2"/>
  <c r="H20" i="2"/>
  <c r="H28" i="2"/>
  <c r="H5" i="2"/>
  <c r="H13" i="2"/>
  <c r="H21" i="2"/>
  <c r="H29" i="2"/>
  <c r="H6" i="2"/>
  <c r="H14" i="2"/>
  <c r="H22" i="2"/>
  <c r="H30" i="2"/>
  <c r="H7" i="2"/>
  <c r="H15" i="2"/>
  <c r="H23" i="2"/>
  <c r="H31" i="2"/>
  <c r="H8" i="2"/>
  <c r="H16" i="2"/>
  <c r="H24" i="2"/>
  <c r="H32" i="2"/>
  <c r="H9" i="2"/>
  <c r="H17" i="2"/>
  <c r="H25" i="2"/>
  <c r="H33" i="2"/>
  <c r="H10" i="2"/>
  <c r="H18" i="2"/>
  <c r="H26" i="2"/>
  <c r="H34" i="2"/>
  <c r="H11" i="2"/>
  <c r="H19" i="2"/>
  <c r="H27" i="2"/>
  <c r="H35" i="2"/>
</calcChain>
</file>

<file path=xl/sharedStrings.xml><?xml version="1.0" encoding="utf-8"?>
<sst xmlns="http://schemas.openxmlformats.org/spreadsheetml/2006/main" count="134" uniqueCount="91">
  <si>
    <t>Battleground Stats</t>
  </si>
  <si>
    <t>Game</t>
  </si>
  <si>
    <t>Position</t>
  </si>
  <si>
    <t>Champion</t>
  </si>
  <si>
    <t>Strategy</t>
  </si>
  <si>
    <t>Beast</t>
  </si>
  <si>
    <t>1st</t>
  </si>
  <si>
    <t>2nd</t>
  </si>
  <si>
    <t>3rd</t>
  </si>
  <si>
    <t>4th</t>
  </si>
  <si>
    <t>5th</t>
  </si>
  <si>
    <t>6th</t>
  </si>
  <si>
    <t>7th</t>
  </si>
  <si>
    <t>8th</t>
  </si>
  <si>
    <t>Nozdormu</t>
  </si>
  <si>
    <t>Dancin' Deryl</t>
  </si>
  <si>
    <t>Deathwing</t>
  </si>
  <si>
    <t>Elise Starseeker</t>
  </si>
  <si>
    <t>Millhouse Manastorm</t>
  </si>
  <si>
    <t>Arch-Villain Rafaam</t>
  </si>
  <si>
    <t>Yogg-Saron,  Hope's End</t>
  </si>
  <si>
    <t>Edwin VanCleef</t>
  </si>
  <si>
    <t>Sir Finley Mrrgglton</t>
  </si>
  <si>
    <t>A. F. Kay</t>
  </si>
  <si>
    <t>The Great Akazamzarak</t>
  </si>
  <si>
    <t>Pyramad</t>
  </si>
  <si>
    <t>Malygos</t>
  </si>
  <si>
    <t>Infinite Toki</t>
  </si>
  <si>
    <t>The Rat King</t>
  </si>
  <si>
    <t>Nefarian</t>
  </si>
  <si>
    <t>The Curator</t>
  </si>
  <si>
    <t>Sindragosa</t>
  </si>
  <si>
    <t>Millificent Manastorm</t>
  </si>
  <si>
    <t>Bartendotron</t>
  </si>
  <si>
    <t>Alexstrasza</t>
  </si>
  <si>
    <t>Patchwerk</t>
  </si>
  <si>
    <t>Queen Wagtoggle</t>
  </si>
  <si>
    <t>The Lich King</t>
  </si>
  <si>
    <t>Shudderwock</t>
  </si>
  <si>
    <t>Reno Jackson</t>
  </si>
  <si>
    <t>George the Fallen</t>
  </si>
  <si>
    <t>Lich Baz'hial</t>
  </si>
  <si>
    <t>Ysera</t>
  </si>
  <si>
    <t>Lord Jaraxxus</t>
  </si>
  <si>
    <t>Professor Putricide</t>
  </si>
  <si>
    <t>Galakrond</t>
  </si>
  <si>
    <t>Fungalmancer Flurgl</t>
  </si>
  <si>
    <t>Champion ID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</si>
  <si>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</si>
  <si>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</si>
  <si>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</si>
  <si>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</si>
  <si>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</si>
  <si>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</si>
  <si>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</si>
  <si>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</si>
  <si>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</si>
  <si>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</si>
  <si>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</si>
  <si>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</si>
  <si>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</si>
  <si>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</si>
  <si>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</si>
  <si>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</si>
  <si>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</si>
  <si>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</si>
  <si>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</si>
  <si>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</si>
  <si>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</si>
  <si>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</si>
  <si>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</si>
  <si>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</si>
  <si>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</si>
  <si>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</si>
  <si>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</si>
  <si>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</si>
  <si>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</si>
  <si>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</si>
  <si>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</si>
  <si>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</si>
  <si>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</si>
  <si>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Description</t>
  </si>
  <si>
    <t>Positions</t>
  </si>
  <si>
    <t>Champions</t>
  </si>
  <si>
    <t># Played</t>
  </si>
  <si>
    <t>% Played</t>
  </si>
  <si>
    <t># Top 4</t>
  </si>
  <si>
    <t>% Top 4</t>
  </si>
  <si>
    <t># 1st</t>
  </si>
  <si>
    <t>% 1st</t>
  </si>
  <si>
    <t>Top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</si>
</sst>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10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Q37"/>
  <sheetViews>
    <sheetView showGridLines="0" workbookViewId="0">
      <selection activeCell="O7" sqref="O7"/>
    </sheetView>
  </sheetViews>
  <sheetFormatPr defaultRowHeight="14.4" x14ac:dyDescent="0.3"/>
  <cols>
    <col min="3" max="3" width="21.77734375" customWidth="1"/>
    <col min="4" max="4" width="8.88671875" style="1"/>
    <col min="5" max="12" width="4.33203125" style="1" customWidth="1"/>
    <col min="13" max="14" width="14.44140625" style="1" customWidth="1"/>
    <col min="15" max="15" width="13.109375" bestFit="1" customWidth="1"/>
    <col min="16" max="16" width="20.77734375" style="5" bestFit="1" customWidth="1"/>
    <col min="17" max="17" width="13.109375" style="1" customWidth="1"/>
  </cols>
  <sheetData>
    <row r="2" spans="3:17" ht="15" thickBot="1" x14ac:dyDescent="0.35"/>
    <row r="3" spans="3:17" ht="18.600000000000001" thickBot="1" x14ac:dyDescent="0.35">
      <c r="C3" s="23" t="s">
        <v>0</v>
      </c>
    </row>
    <row r="4" spans="3:17" s="1" customFormat="1" ht="15" thickBot="1" x14ac:dyDescent="0.35">
      <c r="E4" s="34" t="s">
        <v>2</v>
      </c>
      <c r="F4" s="36"/>
      <c r="G4" s="36"/>
      <c r="H4" s="36"/>
      <c r="I4" s="36"/>
      <c r="J4" s="36"/>
      <c r="K4" s="36"/>
      <c r="L4" s="37"/>
      <c r="M4" s="34" t="s">
        <v>81</v>
      </c>
      <c r="N4" s="35"/>
      <c r="P4" s="7" t="s">
        <v>3</v>
      </c>
      <c r="Q4" s="29" t="s">
        <v>47</v>
      </c>
    </row>
    <row r="5" spans="3:17" s="1" customFormat="1" ht="15" thickBot="1" x14ac:dyDescent="0.35">
      <c r="D5" s="7" t="s">
        <v>1</v>
      </c>
      <c r="E5" s="8" t="s">
        <v>6</v>
      </c>
      <c r="F5" s="9" t="s">
        <v>7</v>
      </c>
      <c r="G5" s="9" t="s">
        <v>8</v>
      </c>
      <c r="H5" s="9" t="s">
        <v>9</v>
      </c>
      <c r="I5" s="9" t="s">
        <v>10</v>
      </c>
      <c r="J5" s="9" t="s">
        <v>11</v>
      </c>
      <c r="K5" s="9" t="s">
        <v>12</v>
      </c>
      <c r="L5" s="10" t="s">
        <v>13</v>
      </c>
      <c r="M5" s="7" t="s">
        <v>47</v>
      </c>
      <c r="N5" s="11" t="s">
        <v>4</v>
      </c>
      <c r="P5" s="30" t="s">
        <v>23</v>
      </c>
      <c r="Q5" s="13" t="s">
        <v>48</v>
      </c>
    </row>
    <row r="6" spans="3:17" x14ac:dyDescent="0.3">
      <c r="D6" s="17">
        <v>1</v>
      </c>
      <c r="E6" s="20"/>
      <c r="F6" s="12">
        <v>1</v>
      </c>
      <c r="G6" s="12"/>
      <c r="H6" s="12"/>
      <c r="I6" s="12"/>
      <c r="J6" s="12"/>
      <c r="K6" s="12"/>
      <c r="L6" s="25"/>
      <c r="M6" s="25" t="s">
        <v>76</v>
      </c>
      <c r="N6" s="13" t="s">
        <v>5</v>
      </c>
      <c r="P6" s="31" t="s">
        <v>34</v>
      </c>
      <c r="Q6" s="14" t="s">
        <v>49</v>
      </c>
    </row>
    <row r="7" spans="3:17" x14ac:dyDescent="0.3">
      <c r="D7" s="18">
        <v>2</v>
      </c>
      <c r="E7" s="21"/>
      <c r="F7" s="6"/>
      <c r="G7" s="6"/>
      <c r="H7" s="6"/>
      <c r="I7" s="6"/>
      <c r="J7" s="6"/>
      <c r="K7" s="6"/>
      <c r="L7" s="6"/>
      <c r="M7" s="6"/>
      <c r="N7" s="14"/>
      <c r="P7" s="31" t="s">
        <v>19</v>
      </c>
      <c r="Q7" s="14" t="s">
        <v>50</v>
      </c>
    </row>
    <row r="8" spans="3:17" x14ac:dyDescent="0.3">
      <c r="D8" s="18">
        <v>3</v>
      </c>
      <c r="E8" s="21"/>
      <c r="F8" s="6"/>
      <c r="G8" s="6"/>
      <c r="H8" s="6"/>
      <c r="I8" s="6"/>
      <c r="J8" s="6"/>
      <c r="K8" s="6"/>
      <c r="L8" s="6"/>
      <c r="M8" s="6"/>
      <c r="N8" s="14"/>
      <c r="P8" s="31" t="s">
        <v>33</v>
      </c>
      <c r="Q8" s="14" t="s">
        <v>51</v>
      </c>
    </row>
    <row r="9" spans="3:17" x14ac:dyDescent="0.3">
      <c r="D9" s="18">
        <v>4</v>
      </c>
      <c r="E9" s="21"/>
      <c r="F9" s="6"/>
      <c r="G9" s="6"/>
      <c r="H9" s="6"/>
      <c r="I9" s="6"/>
      <c r="J9" s="6"/>
      <c r="K9" s="6"/>
      <c r="L9" s="6"/>
      <c r="M9" s="6"/>
      <c r="N9" s="14"/>
      <c r="P9" s="31" t="s">
        <v>15</v>
      </c>
      <c r="Q9" s="14" t="s">
        <v>52</v>
      </c>
    </row>
    <row r="10" spans="3:17" x14ac:dyDescent="0.3">
      <c r="D10" s="18">
        <v>5</v>
      </c>
      <c r="E10" s="21"/>
      <c r="F10" s="6"/>
      <c r="G10" s="6"/>
      <c r="H10" s="6"/>
      <c r="I10" s="6"/>
      <c r="J10" s="6"/>
      <c r="K10" s="6"/>
      <c r="L10" s="6"/>
      <c r="M10" s="6"/>
      <c r="N10" s="14"/>
      <c r="P10" s="31" t="s">
        <v>16</v>
      </c>
      <c r="Q10" s="14" t="s">
        <v>53</v>
      </c>
    </row>
    <row r="11" spans="3:17" x14ac:dyDescent="0.3">
      <c r="D11" s="18">
        <v>6</v>
      </c>
      <c r="E11" s="21"/>
      <c r="F11" s="6"/>
      <c r="G11" s="6"/>
      <c r="H11" s="6"/>
      <c r="I11" s="6"/>
      <c r="J11" s="6"/>
      <c r="K11" s="6"/>
      <c r="L11" s="6"/>
      <c r="M11" s="6"/>
      <c r="N11" s="14"/>
      <c r="P11" s="31" t="s">
        <v>21</v>
      </c>
      <c r="Q11" s="14" t="s">
        <v>54</v>
      </c>
    </row>
    <row r="12" spans="3:17" x14ac:dyDescent="0.3">
      <c r="D12" s="18">
        <v>7</v>
      </c>
      <c r="E12" s="21"/>
      <c r="F12" s="6"/>
      <c r="G12" s="6"/>
      <c r="H12" s="6"/>
      <c r="I12" s="6"/>
      <c r="J12" s="6"/>
      <c r="K12" s="6"/>
      <c r="L12" s="6"/>
      <c r="M12" s="6"/>
      <c r="N12" s="14"/>
      <c r="P12" s="31" t="s">
        <v>17</v>
      </c>
      <c r="Q12" s="14" t="s">
        <v>55</v>
      </c>
    </row>
    <row r="13" spans="3:17" x14ac:dyDescent="0.3">
      <c r="D13" s="18">
        <v>8</v>
      </c>
      <c r="E13" s="21"/>
      <c r="F13" s="6"/>
      <c r="G13" s="6"/>
      <c r="H13" s="6"/>
      <c r="I13" s="6"/>
      <c r="J13" s="6"/>
      <c r="K13" s="6"/>
      <c r="L13" s="6"/>
      <c r="M13" s="6"/>
      <c r="N13" s="14"/>
      <c r="P13" s="31" t="s">
        <v>46</v>
      </c>
      <c r="Q13" s="14" t="s">
        <v>56</v>
      </c>
    </row>
    <row r="14" spans="3:17" x14ac:dyDescent="0.3">
      <c r="D14" s="18">
        <v>9</v>
      </c>
      <c r="E14" s="21"/>
      <c r="F14" s="6"/>
      <c r="G14" s="6"/>
      <c r="H14" s="6"/>
      <c r="I14" s="6"/>
      <c r="J14" s="6"/>
      <c r="K14" s="6"/>
      <c r="L14" s="6"/>
      <c r="M14" s="6"/>
      <c r="N14" s="14"/>
      <c r="P14" s="31" t="s">
        <v>45</v>
      </c>
      <c r="Q14" s="14" t="s">
        <v>57</v>
      </c>
    </row>
    <row r="15" spans="3:17" x14ac:dyDescent="0.3">
      <c r="D15" s="18">
        <v>10</v>
      </c>
      <c r="E15" s="21"/>
      <c r="F15" s="6"/>
      <c r="G15" s="6"/>
      <c r="H15" s="6"/>
      <c r="I15" s="6"/>
      <c r="J15" s="6"/>
      <c r="K15" s="6"/>
      <c r="L15" s="6"/>
      <c r="M15" s="6"/>
      <c r="N15" s="14"/>
      <c r="P15" s="31" t="s">
        <v>40</v>
      </c>
      <c r="Q15" s="14" t="s">
        <v>58</v>
      </c>
    </row>
    <row r="16" spans="3:17" x14ac:dyDescent="0.3">
      <c r="D16" s="18">
        <v>11</v>
      </c>
      <c r="E16" s="21"/>
      <c r="F16" s="6"/>
      <c r="G16" s="6"/>
      <c r="H16" s="6"/>
      <c r="I16" s="6"/>
      <c r="J16" s="6"/>
      <c r="K16" s="6"/>
      <c r="L16" s="6"/>
      <c r="M16" s="6"/>
      <c r="N16" s="14"/>
      <c r="P16" s="31" t="s">
        <v>27</v>
      </c>
      <c r="Q16" s="14" t="s">
        <v>59</v>
      </c>
    </row>
    <row r="17" spans="4:17" x14ac:dyDescent="0.3">
      <c r="D17" s="18">
        <v>12</v>
      </c>
      <c r="E17" s="21"/>
      <c r="F17" s="6"/>
      <c r="G17" s="6"/>
      <c r="H17" s="6"/>
      <c r="I17" s="6"/>
      <c r="J17" s="6"/>
      <c r="K17" s="6"/>
      <c r="L17" s="6"/>
      <c r="M17" s="6"/>
      <c r="N17" s="14"/>
      <c r="P17" s="31" t="s">
        <v>41</v>
      </c>
      <c r="Q17" s="14" t="s">
        <v>60</v>
      </c>
    </row>
    <row r="18" spans="4:17" x14ac:dyDescent="0.3">
      <c r="D18" s="18">
        <v>13</v>
      </c>
      <c r="E18" s="21"/>
      <c r="F18" s="6"/>
      <c r="G18" s="6"/>
      <c r="H18" s="6"/>
      <c r="I18" s="6"/>
      <c r="J18" s="6"/>
      <c r="K18" s="6"/>
      <c r="L18" s="6"/>
      <c r="M18" s="6"/>
      <c r="N18" s="14"/>
      <c r="P18" s="31" t="s">
        <v>43</v>
      </c>
      <c r="Q18" s="14" t="s">
        <v>61</v>
      </c>
    </row>
    <row r="19" spans="4:17" x14ac:dyDescent="0.3">
      <c r="D19" s="18">
        <v>14</v>
      </c>
      <c r="E19" s="21"/>
      <c r="F19" s="6"/>
      <c r="G19" s="6"/>
      <c r="H19" s="6"/>
      <c r="I19" s="6"/>
      <c r="J19" s="6"/>
      <c r="K19" s="6"/>
      <c r="L19" s="6"/>
      <c r="M19" s="6"/>
      <c r="N19" s="14"/>
      <c r="P19" s="31" t="s">
        <v>26</v>
      </c>
      <c r="Q19" s="14" t="s">
        <v>62</v>
      </c>
    </row>
    <row r="20" spans="4:17" x14ac:dyDescent="0.3">
      <c r="D20" s="18">
        <v>15</v>
      </c>
      <c r="E20" s="21"/>
      <c r="F20" s="6"/>
      <c r="G20" s="6"/>
      <c r="H20" s="6"/>
      <c r="I20" s="6"/>
      <c r="J20" s="6"/>
      <c r="K20" s="6"/>
      <c r="L20" s="6"/>
      <c r="M20" s="6"/>
      <c r="N20" s="14"/>
      <c r="P20" s="31" t="s">
        <v>18</v>
      </c>
      <c r="Q20" s="14" t="s">
        <v>63</v>
      </c>
    </row>
    <row r="21" spans="4:17" x14ac:dyDescent="0.3">
      <c r="D21" s="18">
        <v>16</v>
      </c>
      <c r="E21" s="21"/>
      <c r="F21" s="6"/>
      <c r="G21" s="6"/>
      <c r="H21" s="6"/>
      <c r="I21" s="6"/>
      <c r="J21" s="6"/>
      <c r="K21" s="6"/>
      <c r="L21" s="6"/>
      <c r="M21" s="6"/>
      <c r="N21" s="14"/>
      <c r="P21" s="31" t="s">
        <v>32</v>
      </c>
      <c r="Q21" s="14" t="s">
        <v>64</v>
      </c>
    </row>
    <row r="22" spans="4:17" x14ac:dyDescent="0.3">
      <c r="D22" s="18">
        <v>17</v>
      </c>
      <c r="E22" s="21"/>
      <c r="F22" s="6"/>
      <c r="G22" s="6"/>
      <c r="H22" s="6"/>
      <c r="I22" s="6"/>
      <c r="J22" s="6"/>
      <c r="K22" s="6"/>
      <c r="L22" s="6"/>
      <c r="M22" s="28"/>
      <c r="N22" s="14"/>
      <c r="P22" s="31" t="s">
        <v>29</v>
      </c>
      <c r="Q22" s="14" t="s">
        <v>65</v>
      </c>
    </row>
    <row r="23" spans="4:17" ht="15" thickBot="1" x14ac:dyDescent="0.35">
      <c r="D23" s="19">
        <v>18</v>
      </c>
      <c r="E23" s="22"/>
      <c r="F23" s="15"/>
      <c r="G23" s="15"/>
      <c r="H23" s="15"/>
      <c r="I23" s="15"/>
      <c r="J23" s="15"/>
      <c r="K23" s="15"/>
      <c r="L23" s="26"/>
      <c r="M23" s="15"/>
      <c r="N23" s="27"/>
      <c r="P23" s="31" t="s">
        <v>14</v>
      </c>
      <c r="Q23" s="14" t="s">
        <v>66</v>
      </c>
    </row>
    <row r="24" spans="4:17" x14ac:dyDescent="0.3">
      <c r="P24" s="31" t="s">
        <v>35</v>
      </c>
      <c r="Q24" s="14" t="s">
        <v>67</v>
      </c>
    </row>
    <row r="25" spans="4:17" x14ac:dyDescent="0.3">
      <c r="P25" s="31" t="s">
        <v>44</v>
      </c>
      <c r="Q25" s="14" t="s">
        <v>68</v>
      </c>
    </row>
    <row r="26" spans="4:17" x14ac:dyDescent="0.3">
      <c r="P26" s="31" t="s">
        <v>25</v>
      </c>
      <c r="Q26" s="14" t="s">
        <v>69</v>
      </c>
    </row>
    <row r="27" spans="4:17" x14ac:dyDescent="0.3">
      <c r="P27" s="31" t="s">
        <v>36</v>
      </c>
      <c r="Q27" s="14" t="s">
        <v>70</v>
      </c>
    </row>
    <row r="28" spans="4:17" x14ac:dyDescent="0.3">
      <c r="P28" s="31" t="s">
        <v>39</v>
      </c>
      <c r="Q28" s="14" t="s">
        <v>71</v>
      </c>
    </row>
    <row r="29" spans="4:17" x14ac:dyDescent="0.3">
      <c r="P29" s="31" t="s">
        <v>38</v>
      </c>
      <c r="Q29" s="14" t="s">
        <v>72</v>
      </c>
    </row>
    <row r="30" spans="4:17" x14ac:dyDescent="0.3">
      <c r="P30" s="31" t="s">
        <v>31</v>
      </c>
      <c r="Q30" s="14" t="s">
        <v>73</v>
      </c>
    </row>
    <row r="31" spans="4:17" x14ac:dyDescent="0.3">
      <c r="P31" s="31" t="s">
        <v>22</v>
      </c>
      <c r="Q31" s="14" t="s">
        <v>74</v>
      </c>
    </row>
    <row r="32" spans="4:17" x14ac:dyDescent="0.3">
      <c r="P32" s="31" t="s">
        <v>30</v>
      </c>
      <c r="Q32" s="14" t="s">
        <v>75</v>
      </c>
    </row>
    <row r="33" spans="16:17" x14ac:dyDescent="0.3">
      <c r="P33" s="31" t="s">
        <v>24</v>
      </c>
      <c r="Q33" s="14" t="s">
        <v>76</v>
      </c>
    </row>
    <row r="34" spans="16:17" x14ac:dyDescent="0.3">
      <c r="P34" s="31" t="s">
        <v>37</v>
      </c>
      <c r="Q34" s="14" t="s">
        <v>77</v>
      </c>
    </row>
    <row r="35" spans="16:17" x14ac:dyDescent="0.3">
      <c r="P35" s="31" t="s">
        <v>28</v>
      </c>
      <c r="Q35" s="14" t="s">
        <v>78</v>
      </c>
    </row>
    <row r="36" spans="16:17" x14ac:dyDescent="0.3">
      <c r="P36" s="31" t="s">
        <v>20</v>
      </c>
      <c r="Q36" s="14" t="s">
        <v>79</v>
      </c>
    </row>
    <row r="37" spans="16:17" ht="15" thickBot="1" x14ac:dyDescent="0.35">
      <c r="P37" s="32" t="s">
        <v>42</v>
      </c>
      <c r="Q37" s="16" t="s">
        <v>80</v>
      </c>
    </row>
  </sheetData>
  <mergeCells count="2">
    <mergeCell ref="M4:N4"/>
    <mergeCell ref="E4:L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5"/>
  <sheetViews>
    <sheetView showGridLines="0" tabSelected="1" zoomScale="85" zoomScaleNormal="85" workbookViewId="0">
      <selection activeCell="Q17" sqref="Q17"/>
    </sheetView>
  </sheetViews>
  <sheetFormatPr defaultRowHeight="14.4" x14ac:dyDescent="0.3"/>
  <cols>
    <col min="1" max="1" width="11.88671875" style="1" customWidth="1"/>
    <col min="2" max="2" width="9.77734375" style="4" customWidth="1"/>
    <col min="3" max="3" width="5.77734375" style="1" customWidth="1"/>
    <col min="4" max="4" width="10" style="3" bestFit="1" customWidth="1"/>
    <col min="5" max="5" width="8.88671875" style="1"/>
    <col min="6" max="6" width="20.77734375" style="5" bestFit="1" customWidth="1"/>
    <col min="7" max="7" width="8.88671875" style="1"/>
    <col min="8" max="8" width="10" style="3" customWidth="1"/>
    <col min="9" max="11" width="8.88671875" style="1"/>
    <col min="12" max="12" width="8.88671875" style="3"/>
    <col min="13" max="16384" width="8.88671875" style="1"/>
  </cols>
  <sheetData>
    <row r="1" spans="2:12" ht="13.8" customHeight="1" x14ac:dyDescent="0.3"/>
    <row r="2" spans="2:12" s="2" customFormat="1" x14ac:dyDescent="0.3">
      <c r="B2" s="33" t="s">
        <v>82</v>
      </c>
      <c r="D2" s="24"/>
      <c r="F2" s="2" t="s">
        <v>83</v>
      </c>
      <c r="G2" s="2" t="s">
        <v>84</v>
      </c>
      <c r="H2" s="24" t="s">
        <v>85</v>
      </c>
      <c r="I2" s="2" t="s">
        <v>86</v>
      </c>
      <c r="J2" s="2" t="s">
        <v>87</v>
      </c>
      <c r="K2" s="2" t="s">
        <v>88</v>
      </c>
      <c r="L2" s="24" t="s">
        <v>89</v>
      </c>
    </row>
    <row r="3" spans="2:12" x14ac:dyDescent="0.3">
      <c r="B3" s="1" t="s">
        <v>6</v>
      </c>
      <c r="C3" s="1">
        <f>SUM('Raw Data'!E:E)</f>
        <v>0</v>
      </c>
      <c r="D3" s="3">
        <f>C3/SUM(C3:C10)</f>
        <v>0</v>
      </c>
      <c r="F3" s="5" t="s">
        <v>23</v>
      </c>
      <c r="G3" s="1">
        <f>COUNTIF('Raw Data'!M:M,"#1")</f>
        <v>0</v>
      </c>
      <c r="H3" s="3">
        <f>G3/SUM(G:G)</f>
        <v>0</v>
      </c>
      <c r="I3" s="1">
        <v>0</v>
      </c>
      <c r="J3" s="3">
        <f>IF(G3,I3/G3,0)</f>
        <v>0</v>
      </c>
      <c r="K3" s="1">
        <v>0</v>
      </c>
      <c r="L3" s="3">
        <f>IF(G3,K3/G3,0)</f>
        <v>0</v>
      </c>
    </row>
    <row r="4" spans="2:12" x14ac:dyDescent="0.3">
      <c r="B4" s="1" t="s">
        <v>7</v>
      </c>
      <c r="C4" s="1">
        <f>SUM('Raw Data'!F:F)</f>
        <v>1</v>
      </c>
      <c r="D4" s="3">
        <f>C4/SUM(C3:C10)</f>
        <v>1</v>
      </c>
      <c r="F4" s="5" t="s">
        <v>34</v>
      </c>
      <c r="G4" s="1">
        <f>COUNTIF('Raw Data'!M:M,"#2")</f>
        <v>0</v>
      </c>
      <c r="H4" s="3">
        <f t="shared" ref="H4:H35" si="0">G4/SUM(G:G)</f>
        <v>0</v>
      </c>
      <c r="I4" s="1">
        <v>0</v>
      </c>
      <c r="J4" s="3">
        <f t="shared" ref="J4:J35" si="1">IF(G4,I4/G4,0)</f>
        <v>0</v>
      </c>
      <c r="K4" s="1">
        <v>0</v>
      </c>
      <c r="L4" s="3">
        <f t="shared" ref="L4:L35" si="2">IF(G4,K4/G4,0)</f>
        <v>0</v>
      </c>
    </row>
    <row r="5" spans="2:12" x14ac:dyDescent="0.3">
      <c r="B5" s="1" t="s">
        <v>8</v>
      </c>
      <c r="C5" s="1">
        <f>SUM('Raw Data'!G:G)</f>
        <v>0</v>
      </c>
      <c r="D5" s="3">
        <f>C5/SUM(C3:C10)</f>
        <v>0</v>
      </c>
      <c r="F5" s="5" t="s">
        <v>19</v>
      </c>
      <c r="G5" s="1">
        <f>COUNTIF('Raw Data'!M:M,"#3")</f>
        <v>0</v>
      </c>
      <c r="H5" s="3">
        <f t="shared" si="0"/>
        <v>0</v>
      </c>
      <c r="I5" s="1">
        <v>0</v>
      </c>
      <c r="J5" s="3">
        <f t="shared" si="1"/>
        <v>0</v>
      </c>
      <c r="K5" s="1">
        <v>0</v>
      </c>
      <c r="L5" s="3">
        <f t="shared" si="2"/>
        <v>0</v>
      </c>
    </row>
    <row r="6" spans="2:12" x14ac:dyDescent="0.3">
      <c r="B6" s="1" t="s">
        <v>9</v>
      </c>
      <c r="C6" s="1">
        <f>SUM('Raw Data'!H:H)</f>
        <v>0</v>
      </c>
      <c r="D6" s="3">
        <f>C6/SUM(C3:C10)</f>
        <v>0</v>
      </c>
      <c r="F6" s="5" t="s">
        <v>33</v>
      </c>
      <c r="G6" s="1">
        <f>COUNTIF('Raw Data'!M:M,"#4")</f>
        <v>0</v>
      </c>
      <c r="H6" s="3">
        <f t="shared" si="0"/>
        <v>0</v>
      </c>
      <c r="I6" s="1">
        <v>0</v>
      </c>
      <c r="J6" s="3">
        <f t="shared" si="1"/>
        <v>0</v>
      </c>
      <c r="K6" s="1">
        <v>0</v>
      </c>
      <c r="L6" s="3">
        <f t="shared" si="2"/>
        <v>0</v>
      </c>
    </row>
    <row r="7" spans="2:12" x14ac:dyDescent="0.3">
      <c r="B7" s="1" t="s">
        <v>10</v>
      </c>
      <c r="C7" s="1">
        <f>SUM('Raw Data'!I:I)</f>
        <v>0</v>
      </c>
      <c r="D7" s="3">
        <f>C7/SUM(C3:C10)</f>
        <v>0</v>
      </c>
      <c r="F7" s="5" t="s">
        <v>15</v>
      </c>
      <c r="G7" s="1">
        <f>COUNTIF('Raw Data'!M:M,"#5")</f>
        <v>0</v>
      </c>
      <c r="H7" s="3">
        <f t="shared" si="0"/>
        <v>0</v>
      </c>
      <c r="I7" s="1">
        <v>0</v>
      </c>
      <c r="J7" s="3">
        <f t="shared" si="1"/>
        <v>0</v>
      </c>
      <c r="K7" s="1">
        <v>0</v>
      </c>
      <c r="L7" s="3">
        <f t="shared" si="2"/>
        <v>0</v>
      </c>
    </row>
    <row r="8" spans="2:12" x14ac:dyDescent="0.3">
      <c r="B8" s="1" t="s">
        <v>11</v>
      </c>
      <c r="C8" s="1">
        <f>SUM('Raw Data'!J:J)</f>
        <v>0</v>
      </c>
      <c r="D8" s="3">
        <f>C8/SUM(C3:C10)</f>
        <v>0</v>
      </c>
      <c r="F8" s="5" t="s">
        <v>16</v>
      </c>
      <c r="G8" s="1">
        <f>COUNTIF('Raw Data'!M:M,"#6")</f>
        <v>0</v>
      </c>
      <c r="H8" s="3">
        <f t="shared" si="0"/>
        <v>0</v>
      </c>
      <c r="I8" s="1">
        <v>0</v>
      </c>
      <c r="J8" s="3">
        <f t="shared" si="1"/>
        <v>0</v>
      </c>
      <c r="K8" s="1">
        <v>0</v>
      </c>
      <c r="L8" s="3">
        <f t="shared" si="2"/>
        <v>0</v>
      </c>
    </row>
    <row r="9" spans="2:12" x14ac:dyDescent="0.3">
      <c r="B9" s="1" t="s">
        <v>12</v>
      </c>
      <c r="C9" s="1">
        <f>SUM('Raw Data'!K:K)</f>
        <v>0</v>
      </c>
      <c r="D9" s="3">
        <f>C9/SUM(C3:C10)</f>
        <v>0</v>
      </c>
      <c r="F9" s="5" t="s">
        <v>21</v>
      </c>
      <c r="G9" s="1">
        <f>COUNTIF('Raw Data'!M:M,"#7")</f>
        <v>0</v>
      </c>
      <c r="H9" s="3">
        <f t="shared" si="0"/>
        <v>0</v>
      </c>
      <c r="I9" s="1">
        <v>0</v>
      </c>
      <c r="J9" s="3">
        <f t="shared" si="1"/>
        <v>0</v>
      </c>
      <c r="K9" s="1">
        <v>0</v>
      </c>
      <c r="L9" s="3">
        <f t="shared" si="2"/>
        <v>0</v>
      </c>
    </row>
    <row r="10" spans="2:12" x14ac:dyDescent="0.3">
      <c r="B10" s="1" t="s">
        <v>13</v>
      </c>
      <c r="C10" s="1">
        <f>SUM('Raw Data'!L:L)</f>
        <v>0</v>
      </c>
      <c r="D10" s="3">
        <f>C10/SUM(C3:C10)</f>
        <v>0</v>
      </c>
      <c r="F10" s="5" t="s">
        <v>17</v>
      </c>
      <c r="G10" s="1">
        <f>COUNTIF('Raw Data'!M:M,"#8")</f>
        <v>0</v>
      </c>
      <c r="H10" s="3">
        <f t="shared" si="0"/>
        <v>0</v>
      </c>
      <c r="I10" s="1">
        <v>0</v>
      </c>
      <c r="J10" s="3">
        <f t="shared" si="1"/>
        <v>0</v>
      </c>
      <c r="K10" s="1">
        <v>0</v>
      </c>
      <c r="L10" s="3">
        <f t="shared" si="2"/>
        <v>0</v>
      </c>
    </row>
    <row r="11" spans="2:12" x14ac:dyDescent="0.3">
      <c r="F11" s="5" t="s">
        <v>46</v>
      </c>
      <c r="G11" s="1">
        <f>COUNTIF('Raw Data'!M:M,"#9")</f>
        <v>0</v>
      </c>
      <c r="H11" s="3">
        <f t="shared" si="0"/>
        <v>0</v>
      </c>
      <c r="I11" s="1">
        <v>0</v>
      </c>
      <c r="J11" s="3">
        <f t="shared" si="1"/>
        <v>0</v>
      </c>
      <c r="K11" s="1">
        <v>0</v>
      </c>
      <c r="L11" s="3">
        <f t="shared" si="2"/>
        <v>0</v>
      </c>
    </row>
    <row r="12" spans="2:12" x14ac:dyDescent="0.3">
      <c r="B12" s="1" t="s">
        <v>90</v>
      </c>
      <c r="C12" s="1">
        <f>SUM(C3:C6)</f>
        <v>1</v>
      </c>
      <c r="D12" s="3">
        <f>C12/SUM(C3:C10)</f>
        <v>1</v>
      </c>
      <c r="F12" s="5" t="s">
        <v>45</v>
      </c>
      <c r="G12" s="1">
        <f>COUNTIF('Raw Data'!M:M,"#10")</f>
        <v>0</v>
      </c>
      <c r="H12" s="3">
        <f t="shared" si="0"/>
        <v>0</v>
      </c>
      <c r="I12" s="1">
        <v>0</v>
      </c>
      <c r="J12" s="3">
        <f t="shared" si="1"/>
        <v>0</v>
      </c>
      <c r="K12" s="1">
        <v>0</v>
      </c>
      <c r="L12" s="3">
        <f t="shared" si="2"/>
        <v>0</v>
      </c>
    </row>
    <row r="13" spans="2:12" x14ac:dyDescent="0.3">
      <c r="F13" s="5" t="s">
        <v>40</v>
      </c>
      <c r="G13" s="1">
        <f>COUNTIF('Raw Data'!M:M,"#11")</f>
        <v>0</v>
      </c>
      <c r="H13" s="3">
        <f t="shared" si="0"/>
        <v>0</v>
      </c>
      <c r="I13" s="1">
        <v>0</v>
      </c>
      <c r="J13" s="3">
        <f t="shared" si="1"/>
        <v>0</v>
      </c>
      <c r="K13" s="1">
        <v>0</v>
      </c>
      <c r="L13" s="3">
        <f t="shared" si="2"/>
        <v>0</v>
      </c>
    </row>
    <row r="14" spans="2:12" x14ac:dyDescent="0.3">
      <c r="F14" s="5" t="s">
        <v>27</v>
      </c>
      <c r="G14" s="1">
        <f>COUNTIF('Raw Data'!M:M,"#12")</f>
        <v>0</v>
      </c>
      <c r="H14" s="3">
        <f t="shared" si="0"/>
        <v>0</v>
      </c>
      <c r="I14" s="1">
        <v>0</v>
      </c>
      <c r="J14" s="3">
        <f t="shared" si="1"/>
        <v>0</v>
      </c>
      <c r="K14" s="1">
        <v>0</v>
      </c>
      <c r="L14" s="3">
        <f t="shared" si="2"/>
        <v>0</v>
      </c>
    </row>
    <row r="15" spans="2:12" x14ac:dyDescent="0.3">
      <c r="F15" s="5" t="s">
        <v>41</v>
      </c>
      <c r="G15" s="1">
        <f>COUNTIF('Raw Data'!M:M,"#13")</f>
        <v>0</v>
      </c>
      <c r="H15" s="3">
        <f t="shared" si="0"/>
        <v>0</v>
      </c>
      <c r="I15" s="1">
        <v>0</v>
      </c>
      <c r="J15" s="3">
        <f t="shared" si="1"/>
        <v>0</v>
      </c>
      <c r="K15" s="1">
        <v>0</v>
      </c>
      <c r="L15" s="3">
        <f t="shared" si="2"/>
        <v>0</v>
      </c>
    </row>
    <row r="16" spans="2:12" x14ac:dyDescent="0.3">
      <c r="F16" s="5" t="s">
        <v>43</v>
      </c>
      <c r="G16" s="1">
        <f>COUNTIF('Raw Data'!M:M,"#14")</f>
        <v>0</v>
      </c>
      <c r="H16" s="3">
        <f t="shared" si="0"/>
        <v>0</v>
      </c>
      <c r="I16" s="1">
        <v>0</v>
      </c>
      <c r="J16" s="3">
        <f t="shared" si="1"/>
        <v>0</v>
      </c>
      <c r="K16" s="1">
        <v>0</v>
      </c>
      <c r="L16" s="3">
        <f t="shared" si="2"/>
        <v>0</v>
      </c>
    </row>
    <row r="17" spans="6:12" x14ac:dyDescent="0.3">
      <c r="F17" s="5" t="s">
        <v>26</v>
      </c>
      <c r="G17" s="1">
        <f>COUNTIF('Raw Data'!M:M,"#15")</f>
        <v>0</v>
      </c>
      <c r="H17" s="3">
        <f t="shared" si="0"/>
        <v>0</v>
      </c>
      <c r="I17" s="1">
        <v>0</v>
      </c>
      <c r="J17" s="3">
        <f t="shared" si="1"/>
        <v>0</v>
      </c>
      <c r="K17" s="1">
        <v>0</v>
      </c>
      <c r="L17" s="3">
        <f t="shared" si="2"/>
        <v>0</v>
      </c>
    </row>
    <row r="18" spans="6:12" x14ac:dyDescent="0.3">
      <c r="F18" s="5" t="s">
        <v>18</v>
      </c>
      <c r="G18" s="1">
        <f>COUNTIF('Raw Data'!M:M,"#16")</f>
        <v>0</v>
      </c>
      <c r="H18" s="3">
        <f t="shared" si="0"/>
        <v>0</v>
      </c>
      <c r="I18" s="1">
        <v>0</v>
      </c>
      <c r="J18" s="3">
        <f t="shared" si="1"/>
        <v>0</v>
      </c>
      <c r="K18" s="1">
        <v>0</v>
      </c>
      <c r="L18" s="3">
        <f t="shared" si="2"/>
        <v>0</v>
      </c>
    </row>
    <row r="19" spans="6:12" x14ac:dyDescent="0.3">
      <c r="F19" s="5" t="s">
        <v>32</v>
      </c>
      <c r="G19" s="1">
        <f>COUNTIF('Raw Data'!M:M,"#17")</f>
        <v>0</v>
      </c>
      <c r="H19" s="3">
        <f t="shared" si="0"/>
        <v>0</v>
      </c>
      <c r="I19" s="1">
        <v>0</v>
      </c>
      <c r="J19" s="3">
        <f t="shared" si="1"/>
        <v>0</v>
      </c>
      <c r="K19" s="1">
        <v>0</v>
      </c>
      <c r="L19" s="3">
        <f t="shared" si="2"/>
        <v>0</v>
      </c>
    </row>
    <row r="20" spans="6:12" x14ac:dyDescent="0.3">
      <c r="F20" s="5" t="s">
        <v>29</v>
      </c>
      <c r="G20" s="1">
        <f>COUNTIF('Raw Data'!M:M,"#18")</f>
        <v>0</v>
      </c>
      <c r="H20" s="3">
        <f t="shared" si="0"/>
        <v>0</v>
      </c>
      <c r="I20" s="1">
        <v>0</v>
      </c>
      <c r="J20" s="3">
        <f t="shared" si="1"/>
        <v>0</v>
      </c>
      <c r="K20" s="1">
        <v>0</v>
      </c>
      <c r="L20" s="3">
        <f t="shared" si="2"/>
        <v>0</v>
      </c>
    </row>
    <row r="21" spans="6:12" x14ac:dyDescent="0.3">
      <c r="F21" s="5" t="s">
        <v>14</v>
      </c>
      <c r="G21" s="1">
        <f>COUNTIF('Raw Data'!M:M,"#19")</f>
        <v>0</v>
      </c>
      <c r="H21" s="3">
        <f t="shared" si="0"/>
        <v>0</v>
      </c>
      <c r="I21" s="1">
        <v>0</v>
      </c>
      <c r="J21" s="3">
        <f t="shared" si="1"/>
        <v>0</v>
      </c>
      <c r="K21" s="1">
        <v>0</v>
      </c>
      <c r="L21" s="3">
        <f t="shared" si="2"/>
        <v>0</v>
      </c>
    </row>
    <row r="22" spans="6:12" x14ac:dyDescent="0.3">
      <c r="F22" s="5" t="s">
        <v>35</v>
      </c>
      <c r="G22" s="1">
        <f>COUNTIF('Raw Data'!M:M,"#20")</f>
        <v>0</v>
      </c>
      <c r="H22" s="3">
        <f t="shared" si="0"/>
        <v>0</v>
      </c>
      <c r="I22" s="1">
        <v>0</v>
      </c>
      <c r="J22" s="3">
        <f t="shared" si="1"/>
        <v>0</v>
      </c>
      <c r="K22" s="1">
        <v>0</v>
      </c>
      <c r="L22" s="3">
        <f t="shared" si="2"/>
        <v>0</v>
      </c>
    </row>
    <row r="23" spans="6:12" x14ac:dyDescent="0.3">
      <c r="F23" s="5" t="s">
        <v>44</v>
      </c>
      <c r="G23" s="1">
        <f>COUNTIF('Raw Data'!M:M,"#21")</f>
        <v>0</v>
      </c>
      <c r="H23" s="3">
        <f t="shared" si="0"/>
        <v>0</v>
      </c>
      <c r="I23" s="1">
        <v>0</v>
      </c>
      <c r="J23" s="3">
        <f t="shared" si="1"/>
        <v>0</v>
      </c>
      <c r="K23" s="1">
        <v>0</v>
      </c>
      <c r="L23" s="3">
        <f t="shared" si="2"/>
        <v>0</v>
      </c>
    </row>
    <row r="24" spans="6:12" x14ac:dyDescent="0.3">
      <c r="F24" s="5" t="s">
        <v>25</v>
      </c>
      <c r="G24" s="1">
        <f>COUNTIF('Raw Data'!M:M,"#22")</f>
        <v>0</v>
      </c>
      <c r="H24" s="3">
        <f t="shared" si="0"/>
        <v>0</v>
      </c>
      <c r="I24" s="1">
        <v>0</v>
      </c>
      <c r="J24" s="3">
        <f t="shared" si="1"/>
        <v>0</v>
      </c>
      <c r="K24" s="1">
        <v>0</v>
      </c>
      <c r="L24" s="3">
        <f t="shared" si="2"/>
        <v>0</v>
      </c>
    </row>
    <row r="25" spans="6:12" x14ac:dyDescent="0.3">
      <c r="F25" s="5" t="s">
        <v>36</v>
      </c>
      <c r="G25" s="1">
        <f>COUNTIF('Raw Data'!M:M,"#23")</f>
        <v>0</v>
      </c>
      <c r="H25" s="3">
        <f t="shared" si="0"/>
        <v>0</v>
      </c>
      <c r="I25" s="1">
        <v>0</v>
      </c>
      <c r="J25" s="3">
        <f t="shared" si="1"/>
        <v>0</v>
      </c>
      <c r="K25" s="1">
        <v>0</v>
      </c>
      <c r="L25" s="3">
        <f t="shared" si="2"/>
        <v>0</v>
      </c>
    </row>
    <row r="26" spans="6:12" x14ac:dyDescent="0.3">
      <c r="F26" s="5" t="s">
        <v>39</v>
      </c>
      <c r="G26" s="1">
        <f>COUNTIF('Raw Data'!M:M,"#24")</f>
        <v>0</v>
      </c>
      <c r="H26" s="3">
        <f t="shared" si="0"/>
        <v>0</v>
      </c>
      <c r="I26" s="1">
        <v>0</v>
      </c>
      <c r="J26" s="3">
        <f t="shared" si="1"/>
        <v>0</v>
      </c>
      <c r="K26" s="1">
        <v>0</v>
      </c>
      <c r="L26" s="3">
        <f t="shared" si="2"/>
        <v>0</v>
      </c>
    </row>
    <row r="27" spans="6:12" x14ac:dyDescent="0.3">
      <c r="F27" s="5" t="s">
        <v>38</v>
      </c>
      <c r="G27" s="1">
        <f>COUNTIF('Raw Data'!M:M,"#25")</f>
        <v>0</v>
      </c>
      <c r="H27" s="3">
        <f t="shared" si="0"/>
        <v>0</v>
      </c>
      <c r="I27" s="1">
        <v>0</v>
      </c>
      <c r="J27" s="3">
        <f t="shared" si="1"/>
        <v>0</v>
      </c>
      <c r="K27" s="1">
        <v>0</v>
      </c>
      <c r="L27" s="3">
        <f t="shared" si="2"/>
        <v>0</v>
      </c>
    </row>
    <row r="28" spans="6:12" x14ac:dyDescent="0.3">
      <c r="F28" s="5" t="s">
        <v>31</v>
      </c>
      <c r="G28" s="1">
        <f>COUNTIF('Raw Data'!M:M,"#26")</f>
        <v>0</v>
      </c>
      <c r="H28" s="3">
        <f t="shared" si="0"/>
        <v>0</v>
      </c>
      <c r="I28" s="1">
        <v>0</v>
      </c>
      <c r="J28" s="3">
        <f t="shared" si="1"/>
        <v>0</v>
      </c>
      <c r="K28" s="1">
        <v>0</v>
      </c>
      <c r="L28" s="3">
        <f t="shared" si="2"/>
        <v>0</v>
      </c>
    </row>
    <row r="29" spans="6:12" x14ac:dyDescent="0.3">
      <c r="F29" s="5" t="s">
        <v>22</v>
      </c>
      <c r="G29" s="1">
        <f>COUNTIF('Raw Data'!M:M,"#27")</f>
        <v>0</v>
      </c>
      <c r="H29" s="3">
        <f t="shared" si="0"/>
        <v>0</v>
      </c>
      <c r="I29" s="1">
        <v>0</v>
      </c>
      <c r="J29" s="3">
        <f t="shared" si="1"/>
        <v>0</v>
      </c>
      <c r="K29" s="1">
        <v>0</v>
      </c>
      <c r="L29" s="3">
        <f t="shared" si="2"/>
        <v>0</v>
      </c>
    </row>
    <row r="30" spans="6:12" x14ac:dyDescent="0.3">
      <c r="F30" s="5" t="s">
        <v>30</v>
      </c>
      <c r="G30" s="1">
        <f>COUNTIF('Raw Data'!M:M,"#28")</f>
        <v>0</v>
      </c>
      <c r="H30" s="3">
        <f t="shared" si="0"/>
        <v>0</v>
      </c>
      <c r="I30" s="1">
        <v>0</v>
      </c>
      <c r="J30" s="3">
        <f t="shared" si="1"/>
        <v>0</v>
      </c>
      <c r="K30" s="1">
        <v>0</v>
      </c>
      <c r="L30" s="3">
        <f t="shared" si="2"/>
        <v>0</v>
      </c>
    </row>
    <row r="31" spans="6:12" x14ac:dyDescent="0.3">
      <c r="F31" s="5" t="s">
        <v>24</v>
      </c>
      <c r="G31" s="1">
        <f>COUNTIF('Raw Data'!M:M,"#29")</f>
        <v>1</v>
      </c>
      <c r="H31" s="3">
        <f t="shared" si="0"/>
        <v>1</v>
      </c>
      <c r="I31" s="1">
        <v>1</v>
      </c>
      <c r="J31" s="3">
        <f t="shared" si="1"/>
        <v>1</v>
      </c>
      <c r="K31" s="1">
        <v>0</v>
      </c>
      <c r="L31" s="3">
        <f t="shared" si="2"/>
        <v>0</v>
      </c>
    </row>
    <row r="32" spans="6:12" x14ac:dyDescent="0.3">
      <c r="F32" s="5" t="s">
        <v>37</v>
      </c>
      <c r="G32" s="1">
        <f>COUNTIF('Raw Data'!M:M,"#30")</f>
        <v>0</v>
      </c>
      <c r="H32" s="3">
        <f t="shared" si="0"/>
        <v>0</v>
      </c>
      <c r="I32" s="1">
        <v>0</v>
      </c>
      <c r="J32" s="3">
        <f t="shared" si="1"/>
        <v>0</v>
      </c>
      <c r="K32" s="1">
        <v>0</v>
      </c>
      <c r="L32" s="3">
        <f t="shared" si="2"/>
        <v>0</v>
      </c>
    </row>
    <row r="33" spans="6:12" x14ac:dyDescent="0.3">
      <c r="F33" s="5" t="s">
        <v>28</v>
      </c>
      <c r="G33" s="1">
        <f>COUNTIF('Raw Data'!M:M,"#31")</f>
        <v>0</v>
      </c>
      <c r="H33" s="3">
        <f t="shared" si="0"/>
        <v>0</v>
      </c>
      <c r="I33" s="1">
        <v>0</v>
      </c>
      <c r="J33" s="3">
        <f t="shared" si="1"/>
        <v>0</v>
      </c>
      <c r="K33" s="1">
        <v>0</v>
      </c>
      <c r="L33" s="3">
        <f t="shared" si="2"/>
        <v>0</v>
      </c>
    </row>
    <row r="34" spans="6:12" x14ac:dyDescent="0.3">
      <c r="F34" s="5" t="s">
        <v>20</v>
      </c>
      <c r="G34" s="1">
        <f>COUNTIF('Raw Data'!M:M,"#32")</f>
        <v>0</v>
      </c>
      <c r="H34" s="3">
        <f t="shared" si="0"/>
        <v>0</v>
      </c>
      <c r="I34" s="1">
        <v>0</v>
      </c>
      <c r="J34" s="3">
        <f t="shared" si="1"/>
        <v>0</v>
      </c>
      <c r="K34" s="1">
        <v>0</v>
      </c>
      <c r="L34" s="3">
        <f t="shared" si="2"/>
        <v>0</v>
      </c>
    </row>
    <row r="35" spans="6:12" x14ac:dyDescent="0.3">
      <c r="F35" s="5" t="s">
        <v>42</v>
      </c>
      <c r="G35" s="1">
        <f>COUNTIF('Raw Data'!M:M,"#33")</f>
        <v>0</v>
      </c>
      <c r="H35" s="3">
        <f t="shared" si="0"/>
        <v>0</v>
      </c>
      <c r="I35" s="1">
        <v>0</v>
      </c>
      <c r="J35" s="3">
        <f t="shared" si="1"/>
        <v>0</v>
      </c>
      <c r="K35" s="1">
        <v>0</v>
      </c>
      <c r="L35" s="3">
        <f t="shared" si="2"/>
        <v>0</v>
      </c>
    </row>
  </sheetData>
  <sortState xmlns:xlrd2="http://schemas.microsoft.com/office/spreadsheetml/2017/richdata2" ref="F6:F39">
    <sortCondition ref="F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ttlegroundsData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C30" sqref="C30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Summary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2020-04-22T10:11:20Z</dcterms:created>
  <dcterms:modified xsi:type="dcterms:W3CDTF">2020-04-22T13:39:14Z</dcterms:modified>
</cp:coreProperties>
</file>